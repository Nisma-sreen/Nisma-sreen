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sma\Downloads\"/>
    </mc:Choice>
  </mc:AlternateContent>
  <xr:revisionPtr revIDLastSave="0" documentId="8_{256CA790-5648-4732-B37D-0C15FFA47A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H9" i="2"/>
  <c r="H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6" i="2"/>
  <c r="H5" i="2"/>
  <c r="H3" i="2"/>
  <c r="H2" i="2"/>
  <c r="H1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<sst xmlns="http://schemas.openxmlformats.org/spreadsheetml/2006/main" count="170" uniqueCount="121">
  <si>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</si>
  <si>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</si>
  <si>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</si>
  <si>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</si>
  <si>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</si>
  <si>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</si>
  <si>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</si>
  <si>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</si>
  <si>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</si>
  <si>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</si>
  <si>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</si>
  <si>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</si>
  <si>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</si>
  <si>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</si>
  <si>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</si>
  <si>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</si>
  <si>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</si>
  <si>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</si>
  <si>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</si>
  <si>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</si>
  <si>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</si>
  <si>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</si>
  <si>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</si>
  <si>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</si>
  <si>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</si>
  <si>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</si>
  <si>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</si>
  <si>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</si>
  <si>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</si>
  <si>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</si>
  <si>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</si>
  <si>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</si>
  <si>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</si>
  <si>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</si>
  <si>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</si>
  <si>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</si>
  <si>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</si>
  <si>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</si>
  <si>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</si>
  <si>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</si>
  <si>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</si>
  <si>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</si>
  <si>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</si>
  <si>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</si>
  <si>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</si>
  <si>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</si>
  <si>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</si>
  <si>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</si>
  <si>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</si>
  <si>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</si>
  <si>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</si>
  <si>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</si>
  <si>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</si>
  <si>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</si>
  <si>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</si>
  <si>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</si>
  <si>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</si>
  <si>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</si>
  <si>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</si>
  <si>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</si>
  <si>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</si>
  <si>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</si>
  <si>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</si>
  <si>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</si>
  <si>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</si>
  <si>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</si>
  <si>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</si>
  <si>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</si>
  <si>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</si>
  <si>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</si>
  <si>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</si>
  <si>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</si>
  <si>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</si>
  <si>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</si>
  <si>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</si>
  <si>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</si>
  <si>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</si>
  <si>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</si>
  <si>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</si>
  <si>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</si>
  <si>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</si>
  <si>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</si>
  <si>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</si>
  <si>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</si>
  <si>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</si>
  <si>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</si>
  <si>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</si>
  <si>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</si>
  <si>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</si>
  <si>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</si>
  <si>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</si>
  <si>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</si>
  <si>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</si>
  <si>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</si>
  <si>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</si>
  <si>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</si>
  <si>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</si>
  <si>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</si>
  <si>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</si>
  <si>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</si>
  <si>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</si>
  <si>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</si>
  <si>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</si>
  <si>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</si>
  <si>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</si>
  <si>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</si>
  <si>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</si>
  <si>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</si>
  <si>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</si>
  <si>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</si>
  <si>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</si>
  <si>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Number of products</t>
  </si>
  <si>
    <t>Average Price</t>
  </si>
  <si>
    <t>Minimum price</t>
  </si>
  <si>
    <t>Maximum price</t>
  </si>
  <si>
    <t>price range</t>
  </si>
  <si>
    <t>Electronics Total</t>
  </si>
  <si>
    <t>Products Below$100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</si>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</sst>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rgb="FF4DD0E1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5" fillId="5" borderId="0" xfId="0" applyFont="1" applyFill="1" applyAlignment="1">
      <alignment horizontal="center"/>
    </xf>
    <xf numFmtId="0" fontId="0" fillId="5" borderId="0" xfId="0" applyFill="1"/>
    <xf numFmtId="0" fontId="6" fillId="5" borderId="0" xfId="0" applyFont="1" applyFill="1"/>
    <xf numFmtId="0" fontId="6" fillId="6" borderId="0" xfId="0" applyFont="1" applyFill="1"/>
    <xf numFmtId="0" fontId="0" fillId="6" borderId="0" xfId="0" applyFill="1"/>
    <xf numFmtId="0" fontId="6" fillId="7" borderId="0" xfId="0" applyFont="1" applyFill="1"/>
    <xf numFmtId="0" fontId="0" fillId="7" borderId="0" xfId="0" applyFill="1"/>
    <xf numFmtId="0" fontId="5" fillId="8" borderId="0" xfId="0" applyFont="1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zoomScale="62" workbookViewId="0">
      <selection activeCell="O22" sqref="O2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9" t="s">
        <v>110</v>
      </c>
      <c r="H1" s="10">
        <f>SUM(D2:D35)</f>
        <v>10100</v>
      </c>
      <c r="I1" s="16" t="s">
        <v>115</v>
      </c>
      <c r="K1" t="s">
        <v>118</v>
      </c>
      <c r="L1" t="s">
        <v>119</v>
      </c>
      <c r="M1" t="s">
        <v>120</v>
      </c>
    </row>
    <row r="2" spans="1:13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1" t="s">
        <v>111</v>
      </c>
      <c r="H2" s="10">
        <f>COUNT(D2:D35)</f>
        <v>34</v>
      </c>
      <c r="I2" s="17" t="str">
        <f>IF(D2&gt;=500,"High price","Standard Price")</f>
        <v>High price</v>
      </c>
      <c r="K2" t="str">
        <f>LEFT(A2,2)</f>
        <v>28</v>
      </c>
      <c r="L2" t="str">
        <f>RIGHT(A2,2)</f>
        <v>US</v>
      </c>
      <c r="M2" t="str">
        <f>MID(A2,4,3)</f>
        <v>JAN</v>
      </c>
    </row>
    <row r="3" spans="1:13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1" t="s">
        <v>112</v>
      </c>
      <c r="H3" s="10">
        <f>AVERAGE(D2:D35)</f>
        <v>297.05882352941177</v>
      </c>
      <c r="I3" s="17" t="str">
        <f t="shared" ref="I3:I35" si="0">IF(D3&gt;=500,"High price","Standard Price")</f>
        <v>Standard Price</v>
      </c>
      <c r="K3" t="str">
        <f t="shared" ref="K3:K35" si="1">LEFT(A3,2)</f>
        <v>15</v>
      </c>
      <c r="L3" t="str">
        <f t="shared" ref="L3:L35" si="2">RIGHT(A3,2)</f>
        <v>US</v>
      </c>
      <c r="M3" t="str">
        <f t="shared" ref="M3:M35" si="3">MID(A3,4,3)</f>
        <v>FEB</v>
      </c>
    </row>
    <row r="4" spans="1:13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/>
      <c r="I4" s="17" t="str">
        <f t="shared" si="0"/>
        <v>Standard Price</v>
      </c>
      <c r="K4" t="str">
        <f t="shared" si="1"/>
        <v>03</v>
      </c>
      <c r="L4" t="str">
        <f t="shared" si="2"/>
        <v>US</v>
      </c>
      <c r="M4" t="str">
        <f t="shared" si="3"/>
        <v>MAR</v>
      </c>
    </row>
    <row r="5" spans="1:13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2" t="s">
        <v>113</v>
      </c>
      <c r="H5" s="13">
        <f>MIN(D2:D35)</f>
        <v>30</v>
      </c>
      <c r="I5" s="17" t="str">
        <f t="shared" si="0"/>
        <v>High price</v>
      </c>
      <c r="K5" t="str">
        <f t="shared" si="1"/>
        <v>11</v>
      </c>
      <c r="L5" t="str">
        <f t="shared" si="2"/>
        <v>US</v>
      </c>
      <c r="M5" t="str">
        <f t="shared" si="3"/>
        <v>APR</v>
      </c>
    </row>
    <row r="6" spans="1:13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2" t="s">
        <v>114</v>
      </c>
      <c r="H6" s="13">
        <f>MAX(D2:D35)</f>
        <v>1000</v>
      </c>
      <c r="I6" s="17" t="str">
        <f t="shared" si="0"/>
        <v>Standard Price</v>
      </c>
      <c r="K6" t="str">
        <f t="shared" si="1"/>
        <v>22</v>
      </c>
      <c r="L6" t="str">
        <f t="shared" si="2"/>
        <v>US</v>
      </c>
      <c r="M6" t="str">
        <f t="shared" si="3"/>
        <v>MAY</v>
      </c>
    </row>
    <row r="7" spans="1:13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/>
      <c r="I7" s="17" t="str">
        <f t="shared" si="0"/>
        <v>Standard Price</v>
      </c>
      <c r="K7" t="str">
        <f t="shared" si="1"/>
        <v>07</v>
      </c>
      <c r="L7" t="str">
        <f t="shared" si="2"/>
        <v>UK</v>
      </c>
      <c r="M7" t="str">
        <f t="shared" si="3"/>
        <v>JUN</v>
      </c>
    </row>
    <row r="8" spans="1:1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4" t="s">
        <v>116</v>
      </c>
      <c r="H8" s="15">
        <f>SUMIF(F2:F35,"Electronics",D2:D35)</f>
        <v>8050</v>
      </c>
      <c r="I8" s="17" t="str">
        <f t="shared" si="0"/>
        <v>Standard Price</v>
      </c>
      <c r="K8" t="str">
        <f t="shared" si="1"/>
        <v>19</v>
      </c>
      <c r="L8" t="str">
        <f t="shared" si="2"/>
        <v>UK</v>
      </c>
      <c r="M8" t="str">
        <f t="shared" si="3"/>
        <v>JUL</v>
      </c>
    </row>
    <row r="9" spans="1:13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4" t="s">
        <v>117</v>
      </c>
      <c r="H9" s="15">
        <f>COUNTIF(D2:D35,"&lt;100")</f>
        <v>11</v>
      </c>
      <c r="I9" s="17" t="str">
        <f t="shared" si="0"/>
        <v>Standard Price</v>
      </c>
      <c r="K9" t="str">
        <f t="shared" si="1"/>
        <v>23</v>
      </c>
      <c r="L9" t="str">
        <f t="shared" si="2"/>
        <v>UK</v>
      </c>
      <c r="M9" t="str">
        <f t="shared" si="3"/>
        <v>AUG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/>
      <c r="I10" s="17" t="str">
        <f t="shared" si="0"/>
        <v>High price</v>
      </c>
      <c r="K10" t="str">
        <f t="shared" si="1"/>
        <v>05</v>
      </c>
      <c r="L10" t="str">
        <f t="shared" si="2"/>
        <v>UK</v>
      </c>
      <c r="M10" t="str">
        <f t="shared" si="3"/>
        <v>SEP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/>
      <c r="I11" s="17" t="str">
        <f t="shared" si="0"/>
        <v>Standard Price</v>
      </c>
      <c r="K11" t="str">
        <f t="shared" si="1"/>
        <v>14</v>
      </c>
      <c r="L11" t="str">
        <f t="shared" si="2"/>
        <v>UK</v>
      </c>
      <c r="M11" t="str">
        <f t="shared" si="3"/>
        <v>OCT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/>
      <c r="I12" s="17" t="str">
        <f t="shared" si="0"/>
        <v>High price</v>
      </c>
      <c r="K12" t="str">
        <f t="shared" si="1"/>
        <v>17</v>
      </c>
      <c r="L12" t="str">
        <f t="shared" si="2"/>
        <v>IN</v>
      </c>
      <c r="M12" t="str">
        <f t="shared" si="3"/>
        <v>JUN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/>
      <c r="I13" s="17" t="str">
        <f t="shared" si="0"/>
        <v>Standard Price</v>
      </c>
      <c r="K13" t="str">
        <f t="shared" si="1"/>
        <v>25</v>
      </c>
      <c r="L13" t="str">
        <f t="shared" si="2"/>
        <v>AU</v>
      </c>
      <c r="M13" t="str">
        <f t="shared" si="3"/>
        <v>NOV</v>
      </c>
    </row>
    <row r="14" spans="1:1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/>
      <c r="I14" s="17" t="str">
        <f t="shared" si="0"/>
        <v>Standard Price</v>
      </c>
      <c r="K14" t="str">
        <f t="shared" si="1"/>
        <v>08</v>
      </c>
      <c r="L14" t="str">
        <f t="shared" si="2"/>
        <v>DE</v>
      </c>
      <c r="M14" t="str">
        <f t="shared" si="3"/>
        <v>DEC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/>
      <c r="I15" s="17" t="str">
        <f t="shared" si="0"/>
        <v>Standard Price</v>
      </c>
      <c r="K15" t="str">
        <f t="shared" si="1"/>
        <v>18</v>
      </c>
      <c r="L15" t="str">
        <f t="shared" si="2"/>
        <v>CA</v>
      </c>
      <c r="M15" t="str">
        <f t="shared" si="3"/>
        <v>FEB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/>
      <c r="I16" s="17" t="str">
        <f t="shared" si="0"/>
        <v>Standard Price</v>
      </c>
      <c r="K16" t="str">
        <f t="shared" si="1"/>
        <v>16</v>
      </c>
      <c r="L16" t="str">
        <f t="shared" si="2"/>
        <v>ES</v>
      </c>
      <c r="M16" t="str">
        <f t="shared" si="3"/>
        <v>APR</v>
      </c>
    </row>
    <row r="17" spans="1:13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/>
      <c r="I17" s="17" t="str">
        <f t="shared" si="0"/>
        <v>Standard Price</v>
      </c>
      <c r="K17" t="str">
        <f t="shared" si="1"/>
        <v>21</v>
      </c>
      <c r="L17" t="str">
        <f t="shared" si="2"/>
        <v>CA</v>
      </c>
      <c r="M17" t="str">
        <f t="shared" si="3"/>
        <v>AUG</v>
      </c>
    </row>
    <row r="18" spans="1:13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/>
      <c r="I18" s="17" t="str">
        <f t="shared" si="0"/>
        <v>Standard Price</v>
      </c>
      <c r="K18" t="str">
        <f t="shared" si="1"/>
        <v>20</v>
      </c>
      <c r="L18" t="str">
        <f t="shared" si="2"/>
        <v>CN</v>
      </c>
      <c r="M18" t="str">
        <f t="shared" si="3"/>
        <v>AUG</v>
      </c>
    </row>
    <row r="19" spans="1:13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/>
      <c r="I19" s="17" t="str">
        <f t="shared" si="0"/>
        <v>High price</v>
      </c>
      <c r="K19" t="str">
        <f t="shared" si="1"/>
        <v>27</v>
      </c>
      <c r="L19" t="str">
        <f t="shared" si="2"/>
        <v>IT</v>
      </c>
      <c r="M19" t="str">
        <f t="shared" si="3"/>
        <v>JAN</v>
      </c>
    </row>
    <row r="20" spans="1:13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/>
      <c r="I20" s="17" t="str">
        <f t="shared" si="0"/>
        <v>Standard Price</v>
      </c>
      <c r="K20" t="str">
        <f t="shared" si="1"/>
        <v>01</v>
      </c>
      <c r="L20" t="str">
        <f t="shared" si="2"/>
        <v>UK</v>
      </c>
      <c r="M20" t="str">
        <f t="shared" si="3"/>
        <v>MAR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/>
      <c r="I21" s="17" t="str">
        <f t="shared" si="0"/>
        <v>Standard Price</v>
      </c>
      <c r="K21" t="str">
        <f t="shared" si="1"/>
        <v>14</v>
      </c>
      <c r="L21" t="str">
        <f t="shared" si="2"/>
        <v>US</v>
      </c>
      <c r="M21" t="str">
        <f t="shared" si="3"/>
        <v>AUG</v>
      </c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/>
      <c r="I22" s="17" t="str">
        <f t="shared" si="0"/>
        <v>High price</v>
      </c>
      <c r="K22" t="str">
        <f t="shared" si="1"/>
        <v>14</v>
      </c>
      <c r="L22" t="str">
        <f t="shared" si="2"/>
        <v>RU</v>
      </c>
      <c r="M22" t="str">
        <f t="shared" si="3"/>
        <v>MAY</v>
      </c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/>
      <c r="I23" s="17" t="str">
        <f t="shared" si="0"/>
        <v>Standard Price</v>
      </c>
      <c r="K23" t="str">
        <f t="shared" si="1"/>
        <v>09</v>
      </c>
      <c r="L23" t="str">
        <f t="shared" si="2"/>
        <v>CA</v>
      </c>
      <c r="M23" t="str">
        <f t="shared" si="3"/>
        <v>JAN</v>
      </c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/>
      <c r="I24" s="17" t="str">
        <f t="shared" si="0"/>
        <v>Standard Price</v>
      </c>
      <c r="K24" t="str">
        <f t="shared" si="1"/>
        <v>19</v>
      </c>
      <c r="L24" t="str">
        <f t="shared" si="2"/>
        <v>BR</v>
      </c>
      <c r="M24" t="str">
        <f t="shared" si="3"/>
        <v>JUL</v>
      </c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8"/>
      <c r="I25" s="17" t="str">
        <f t="shared" si="0"/>
        <v>Standard Price</v>
      </c>
      <c r="K25" t="str">
        <f t="shared" si="1"/>
        <v>21</v>
      </c>
      <c r="L25" t="str">
        <f t="shared" si="2"/>
        <v>CA</v>
      </c>
      <c r="M25" t="str">
        <f t="shared" si="3"/>
        <v>AUG</v>
      </c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/>
      <c r="I26" s="17" t="str">
        <f t="shared" si="0"/>
        <v>High price</v>
      </c>
      <c r="K26" t="str">
        <f t="shared" si="1"/>
        <v>29</v>
      </c>
      <c r="L26" t="str">
        <f t="shared" si="2"/>
        <v>CA</v>
      </c>
      <c r="M26" t="str">
        <f t="shared" si="3"/>
        <v>SEP</v>
      </c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/>
      <c r="I27" s="17" t="str">
        <f t="shared" si="0"/>
        <v>Standard Price</v>
      </c>
      <c r="K27" t="str">
        <f t="shared" si="1"/>
        <v>03</v>
      </c>
      <c r="L27" t="str">
        <f t="shared" si="2"/>
        <v>CA</v>
      </c>
      <c r="M27" t="str">
        <f t="shared" si="3"/>
        <v>JUN</v>
      </c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/>
      <c r="I28" s="17" t="str">
        <f t="shared" si="0"/>
        <v>Standard Price</v>
      </c>
      <c r="K28" t="str">
        <f t="shared" si="1"/>
        <v>11</v>
      </c>
      <c r="L28" t="str">
        <f t="shared" si="2"/>
        <v>CA</v>
      </c>
      <c r="M28" t="str">
        <f t="shared" si="3"/>
        <v>JUL</v>
      </c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8"/>
      <c r="I29" s="17" t="str">
        <f t="shared" si="0"/>
        <v>Standard Price</v>
      </c>
      <c r="K29" t="str">
        <f t="shared" si="1"/>
        <v>16</v>
      </c>
      <c r="L29" t="str">
        <f t="shared" si="2"/>
        <v>ES</v>
      </c>
      <c r="M29" t="str">
        <f t="shared" si="3"/>
        <v>APR</v>
      </c>
    </row>
    <row r="30" spans="1:13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/>
      <c r="I30" s="17" t="str">
        <f t="shared" si="0"/>
        <v>Standard Price</v>
      </c>
      <c r="K30" t="str">
        <f t="shared" si="1"/>
        <v>07</v>
      </c>
      <c r="L30" t="str">
        <f t="shared" si="2"/>
        <v>CA</v>
      </c>
      <c r="M30" t="str">
        <f t="shared" si="3"/>
        <v>MAR</v>
      </c>
    </row>
    <row r="31" spans="1:13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/>
      <c r="I31" s="17" t="str">
        <f t="shared" si="0"/>
        <v>Standard Price</v>
      </c>
      <c r="K31" t="str">
        <f t="shared" si="1"/>
        <v>13</v>
      </c>
      <c r="L31" t="str">
        <f t="shared" si="2"/>
        <v>CA</v>
      </c>
      <c r="M31" t="str">
        <f t="shared" si="3"/>
        <v>APR</v>
      </c>
    </row>
    <row r="32" spans="1:13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/>
      <c r="I32" s="17" t="str">
        <f t="shared" si="0"/>
        <v>Standard Price</v>
      </c>
      <c r="K32" t="str">
        <f t="shared" si="1"/>
        <v>24</v>
      </c>
      <c r="L32" t="str">
        <f t="shared" si="2"/>
        <v>CA</v>
      </c>
      <c r="M32" t="str">
        <f t="shared" si="3"/>
        <v>MAY</v>
      </c>
    </row>
    <row r="33" spans="1:13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/>
      <c r="I33" s="17" t="str">
        <f t="shared" si="0"/>
        <v>Standard Price</v>
      </c>
      <c r="K33" t="str">
        <f t="shared" si="1"/>
        <v>02</v>
      </c>
      <c r="L33" t="str">
        <f t="shared" si="2"/>
        <v>CA</v>
      </c>
      <c r="M33" t="str">
        <f t="shared" si="3"/>
        <v>DEC</v>
      </c>
    </row>
    <row r="34" spans="1:13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/>
      <c r="I34" s="17" t="str">
        <f t="shared" si="0"/>
        <v>High price</v>
      </c>
      <c r="K34" t="str">
        <f t="shared" si="1"/>
        <v>17</v>
      </c>
      <c r="L34" t="str">
        <f t="shared" si="2"/>
        <v>IN</v>
      </c>
      <c r="M34" t="str">
        <f t="shared" si="3"/>
        <v>JUN</v>
      </c>
    </row>
    <row r="35" spans="1:13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/>
      <c r="I35" s="17" t="str">
        <f t="shared" si="0"/>
        <v>Standard Price</v>
      </c>
      <c r="K35" t="str">
        <f t="shared" si="1"/>
        <v>09</v>
      </c>
      <c r="L35" t="str">
        <f t="shared" si="2"/>
        <v>FR</v>
      </c>
      <c r="M35" t="str">
        <f t="shared" si="3"/>
        <v>JUL</v>
      </c>
    </row>
    <row r="36" spans="1:13" ht="15.75" customHeight="1" x14ac:dyDescent="0.25"/>
    <row r="37" spans="1:13" ht="15.75" customHeight="1" x14ac:dyDescent="0.25"/>
    <row r="38" spans="1:13" ht="15.75" customHeight="1" x14ac:dyDescent="0.25"/>
    <row r="39" spans="1:13" ht="15.75" customHeight="1" x14ac:dyDescent="0.25"/>
    <row r="40" spans="1:13" ht="15.75" customHeight="1" x14ac:dyDescent="0.25"/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Nisma sreen</dc:creator>
  <cp:lastModifiedBy>Nisma sreen</cp:lastModifiedBy>
  <dcterms:created xsi:type="dcterms:W3CDTF">2026-08-25T18:33:13Z</dcterms:created>
  <dcterms:modified xsi:type="dcterms:W3CDTF">2026-08-25T18:33:13Z</dcterms:modified>
</cp:coreProperties>
</file>